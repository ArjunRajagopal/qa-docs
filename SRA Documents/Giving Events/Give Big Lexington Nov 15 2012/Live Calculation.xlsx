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19" i="1"/>
  <c r="X4"/>
  <c r="S16"/>
  <c r="N16"/>
  <c r="I16"/>
  <c r="D16"/>
  <c r="H20" l="1"/>
  <c r="H22" s="1"/>
</calcChain>
</file>

<file path=xl/sharedStrings.xml><?xml version="1.0" encoding="utf-8"?>
<sst xmlns="http://schemas.openxmlformats.org/spreadsheetml/2006/main" count="67" uniqueCount="67">
  <si>
    <t>Johnson Lake Trails</t>
  </si>
  <si>
    <t>YMCA of Lexington</t>
  </si>
  <si>
    <t>Lexington Majestic Theater Project</t>
  </si>
  <si>
    <t>Dawson County Historical Society and Museum</t>
  </si>
  <si>
    <t>Lexington Regional Health Center Charitable Fund</t>
  </si>
  <si>
    <t>Lexington Volunteer Fire Department</t>
  </si>
  <si>
    <t>Club 180</t>
  </si>
  <si>
    <t>Dawson County Parent Child Protective Services</t>
  </si>
  <si>
    <t>Dawson/Gosper County CASA Program</t>
  </si>
  <si>
    <t>Backpacks for Kids</t>
  </si>
  <si>
    <t>Lexington Area United Way</t>
  </si>
  <si>
    <t>Dawson County Children's Museum</t>
  </si>
  <si>
    <t>Lexington Area Community Choir</t>
  </si>
  <si>
    <t>Miss Voz Latina Leadership Program</t>
  </si>
  <si>
    <t>Minuteman Fine Arts Association (MFAA)</t>
  </si>
  <si>
    <t>Good Samaritan Fund</t>
  </si>
  <si>
    <t>Lexington Public Library - Friends of the Library</t>
  </si>
  <si>
    <t>Johnson Lake EMS</t>
  </si>
  <si>
    <t>Operation Santa Claus</t>
  </si>
  <si>
    <t>Lexington Ministerial Association</t>
  </si>
  <si>
    <t>Dawson County 4-H</t>
  </si>
  <si>
    <t>Johnson Lake Fireworks</t>
  </si>
  <si>
    <t>Plum Creek Days 2014</t>
  </si>
  <si>
    <t>Lexington Concert Fund</t>
  </si>
  <si>
    <t>Daughters of the American Revolution Bonneville Chapter</t>
  </si>
  <si>
    <t>The Welcome Center</t>
  </si>
  <si>
    <t>Alumni Scholarship Fund</t>
  </si>
  <si>
    <t>Class of '77 Scholarship Fund</t>
  </si>
  <si>
    <t>Lexington Fireworks Fund</t>
  </si>
  <si>
    <t>Lexington Knights of Columbus Council #2040</t>
  </si>
  <si>
    <t>Somali Community Center of Lexington Nebraska</t>
  </si>
  <si>
    <t>Tri-County Shrine Club Transportation Fund</t>
  </si>
  <si>
    <t>Lexington Optimist Club</t>
  </si>
  <si>
    <t>Salvation Army</t>
  </si>
  <si>
    <t>Community Action Partnership of Mid-Nebraska</t>
  </si>
  <si>
    <t>Keep Lexington Beautiful</t>
  </si>
  <si>
    <t>Relay for Life of Dawson County</t>
  </si>
  <si>
    <t>Lexington Girls Fast Pitch Association</t>
  </si>
  <si>
    <t>Lexington Baseball Association</t>
  </si>
  <si>
    <t>Lexington Athletic Booster Club</t>
  </si>
  <si>
    <t>Passion for Paws</t>
  </si>
  <si>
    <t>Volunteer Income Tax Assistance Program</t>
  </si>
  <si>
    <t>Grand Generation Center</t>
  </si>
  <si>
    <t>Heartland Museum of Military Vehicles</t>
  </si>
  <si>
    <t>Plum Creek Community Players</t>
  </si>
  <si>
    <t>Central Nebraska Interpreters' Group</t>
  </si>
  <si>
    <t>CFI Lexington</t>
  </si>
  <si>
    <t>Crohn's &amp; Colitis Foundation - Team Challenge Program</t>
  </si>
  <si>
    <t>Dawson County Ag Society</t>
  </si>
  <si>
    <t>Dawson County K-9 Unit</t>
  </si>
  <si>
    <t>Lexington Boy Scouts</t>
  </si>
  <si>
    <t>Lexington Girl Scouts</t>
  </si>
  <si>
    <t>Lexington HS / St. Ann's HS Alumni Association</t>
  </si>
  <si>
    <t>Lexington Lions Club</t>
  </si>
  <si>
    <t>Lexington Parks &amp; Trails Fund</t>
  </si>
  <si>
    <t>Lexington Red Cross / Blood Mobile</t>
  </si>
  <si>
    <t>Lexington Rotary</t>
  </si>
  <si>
    <t>Lexington Soccer League</t>
  </si>
  <si>
    <t>Lexington Youth Bowling League</t>
  </si>
  <si>
    <t>Meals on Wheels</t>
  </si>
  <si>
    <t>Skatepark Fund</t>
  </si>
  <si>
    <t>TeamMates of Lexington</t>
  </si>
  <si>
    <t>LB Total</t>
  </si>
  <si>
    <t>Lex Community Donation</t>
  </si>
  <si>
    <t>Grand Total</t>
  </si>
  <si>
    <t>Prize Money</t>
  </si>
  <si>
    <t>Lexington Education Appreciation Fund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</si>
</sst>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5A3308"/>
      <name val="Times New Roman"/>
      <family val="1"/>
    </font>
    <font>
      <b/>
      <sz val="8"/>
      <color rgb="FF5A3308"/>
      <name val="Arial"/>
      <family val="2"/>
    </font>
    <font>
      <b/>
      <sz val="8"/>
      <color rgb="FF5A3308"/>
      <name val="Times New Roman"/>
      <family val="1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1D7CE"/>
        <bgColor indexed="64"/>
      </patternFill>
    </fill>
    <fill>
      <patternFill patternType="solid">
        <fgColor rgb="FFEDE7E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3" fillId="2" borderId="0" xfId="0" applyFont="1" applyFill="1" applyAlignment="1">
      <alignment horizontal="right" vertical="center" wrapText="1" indent="2"/>
    </xf>
    <xf numFmtId="0" fontId="5" fillId="2" borderId="0" xfId="1" applyFill="1" applyAlignment="1" applyProtection="1">
      <alignment vertical="center" wrapText="1"/>
    </xf>
    <xf numFmtId="0" fontId="2" fillId="2" borderId="0" xfId="0" applyFont="1" applyFill="1" applyAlignment="1">
      <alignment vertical="center" wrapText="1"/>
    </xf>
    <xf numFmtId="6" fontId="0" fillId="0" borderId="0" xfId="0" applyNumberFormat="1"/>
    <xf numFmtId="6" fontId="4" fillId="2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horizontal="right" vertical="center" wrapText="1" indent="2"/>
    </xf>
    <xf numFmtId="0" fontId="5" fillId="3" borderId="0" xfId="1" applyFill="1" applyAlignment="1" applyProtection="1">
      <alignment vertical="center" wrapText="1"/>
    </xf>
    <xf numFmtId="0" fontId="2" fillId="3" borderId="0" xfId="0" applyFont="1" applyFill="1" applyAlignment="1">
      <alignment vertical="center" wrapText="1"/>
    </xf>
    <xf numFmtId="6" fontId="4" fillId="3" borderId="0" xfId="0" applyNumberFormat="1" applyFont="1" applyFill="1" applyAlignment="1">
      <alignment vertical="center" wrapText="1"/>
    </xf>
    <xf numFmtId="0" fontId="0" fillId="0" borderId="1" xfId="0" applyBorder="1"/>
    <xf numFmtId="6" fontId="0" fillId="0" borderId="1" xfId="0" applyNumberFormat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givebiglexington.razoo.com/story/Lexingtonareaunitedway" TargetMode="External"/><Relationship Id="rId18" Type="http://schemas.openxmlformats.org/officeDocument/2006/relationships/hyperlink" Target="http://givebiglexington.razoo.com/story/Lexingtonathleticboosterclub" TargetMode="External"/><Relationship Id="rId26" Type="http://schemas.openxmlformats.org/officeDocument/2006/relationships/hyperlink" Target="http://givebiglexington.razoo.com/story/Passionforpaws" TargetMode="External"/><Relationship Id="rId39" Type="http://schemas.openxmlformats.org/officeDocument/2006/relationships/hyperlink" Target="http://givebiglexington.razoo.com/story/Plumcreekcommunityplayers1" TargetMode="External"/><Relationship Id="rId21" Type="http://schemas.openxmlformats.org/officeDocument/2006/relationships/hyperlink" Target="http://givebiglexington.razoo.com/story/Dawsoncounty4-H" TargetMode="External"/><Relationship Id="rId34" Type="http://schemas.openxmlformats.org/officeDocument/2006/relationships/hyperlink" Target="http://givebiglexington.razoo.com/story/Plumcreekdays2014" TargetMode="External"/><Relationship Id="rId42" Type="http://schemas.openxmlformats.org/officeDocument/2006/relationships/hyperlink" Target="http://givebiglexington.razoo.com/story/Grandgenerationcenter" TargetMode="External"/><Relationship Id="rId47" Type="http://schemas.openxmlformats.org/officeDocument/2006/relationships/hyperlink" Target="http://givebiglexington.razoo.com/story/Mealsonwheels" TargetMode="External"/><Relationship Id="rId50" Type="http://schemas.openxmlformats.org/officeDocument/2006/relationships/hyperlink" Target="http://givebiglexington.razoo.com/story/Lexingtonparksandtrailsfund" TargetMode="External"/><Relationship Id="rId55" Type="http://schemas.openxmlformats.org/officeDocument/2006/relationships/hyperlink" Target="http://givebiglexington.razoo.com/story/Relayforlifeofdawsoncounty" TargetMode="External"/><Relationship Id="rId63" Type="http://schemas.openxmlformats.org/officeDocument/2006/relationships/hyperlink" Target="http://givebiglexington.razoo.com/story/Lexlionsclub" TargetMode="External"/><Relationship Id="rId7" Type="http://schemas.openxmlformats.org/officeDocument/2006/relationships/hyperlink" Target="http://givebiglexington.razoo.com/story/Dawsoncountyhistoricalsocietyandmuseum" TargetMode="External"/><Relationship Id="rId2" Type="http://schemas.openxmlformats.org/officeDocument/2006/relationships/hyperlink" Target="http://givebiglexington.razoo.com/story/Jltrails" TargetMode="External"/><Relationship Id="rId16" Type="http://schemas.openxmlformats.org/officeDocument/2006/relationships/hyperlink" Target="http://givebiglexington.razoo.com/story/Backpacksforkids" TargetMode="External"/><Relationship Id="rId20" Type="http://schemas.openxmlformats.org/officeDocument/2006/relationships/hyperlink" Target="http://givebiglexington.razoo.com/story/Heartlandmuseumofmilitaryvehicles" TargetMode="External"/><Relationship Id="rId29" Type="http://schemas.openxmlformats.org/officeDocument/2006/relationships/hyperlink" Target="http://givebiglexington.razoo.com/story/Lexingtonfireworksfund" TargetMode="External"/><Relationship Id="rId41" Type="http://schemas.openxmlformats.org/officeDocument/2006/relationships/hyperlink" Target="http://givebiglexington.razoo.com/story/Keep-Lex-Beautiful" TargetMode="External"/><Relationship Id="rId54" Type="http://schemas.openxmlformats.org/officeDocument/2006/relationships/hyperlink" Target="http://givebiglexington.razoo.com/story/Alumnischolarshipfund" TargetMode="External"/><Relationship Id="rId62" Type="http://schemas.openxmlformats.org/officeDocument/2006/relationships/hyperlink" Target="http://givebiglexington.razoo.com/story/Lexingtonalumniassociation" TargetMode="External"/><Relationship Id="rId1" Type="http://schemas.openxmlformats.org/officeDocument/2006/relationships/hyperlink" Target="http://givebiglexington.razoo.com/story/Lexingtonmajestictheaterproject" TargetMode="External"/><Relationship Id="rId6" Type="http://schemas.openxmlformats.org/officeDocument/2006/relationships/hyperlink" Target="http://givebiglexington.razoo.com/story/Lexingtonareacommunitychoir" TargetMode="External"/><Relationship Id="rId11" Type="http://schemas.openxmlformats.org/officeDocument/2006/relationships/hyperlink" Target="http://givebiglexington.razoo.com/story/Dawsoncountyparentchildprotectiveservices" TargetMode="External"/><Relationship Id="rId24" Type="http://schemas.openxmlformats.org/officeDocument/2006/relationships/hyperlink" Target="http://givebiglexington.razoo.com/story/Lexingtonpubliclibraryfriendsofthelibrary" TargetMode="External"/><Relationship Id="rId32" Type="http://schemas.openxmlformats.org/officeDocument/2006/relationships/hyperlink" Target="http://givebiglexington.razoo.com/story/Cfilex" TargetMode="External"/><Relationship Id="rId37" Type="http://schemas.openxmlformats.org/officeDocument/2006/relationships/hyperlink" Target="http://givebiglexington.razoo.com/story/Tri-Countyshrineclubtransportationfund" TargetMode="External"/><Relationship Id="rId40" Type="http://schemas.openxmlformats.org/officeDocument/2006/relationships/hyperlink" Target="http://givebiglexington.razoo.com/story/Somalicommunitycenteroflexingtonnebraska" TargetMode="External"/><Relationship Id="rId45" Type="http://schemas.openxmlformats.org/officeDocument/2006/relationships/hyperlink" Target="http://givebiglexington.razoo.com/story/Teammatesoflexington" TargetMode="External"/><Relationship Id="rId53" Type="http://schemas.openxmlformats.org/officeDocument/2006/relationships/hyperlink" Target="http://givebiglexington.razoo.com/story/Lexingtonrotary" TargetMode="External"/><Relationship Id="rId58" Type="http://schemas.openxmlformats.org/officeDocument/2006/relationships/hyperlink" Target="http://givebiglexington.razoo.com/story/Lexingtonsoccerleague" TargetMode="External"/><Relationship Id="rId5" Type="http://schemas.openxmlformats.org/officeDocument/2006/relationships/hyperlink" Target="http://givebiglexington.razoo.com/story/Dawsoncountychildrensmuseum" TargetMode="External"/><Relationship Id="rId15" Type="http://schemas.openxmlformats.org/officeDocument/2006/relationships/hyperlink" Target="http://givebiglexington.razoo.com/story/Johnsonlake-Ems" TargetMode="External"/><Relationship Id="rId23" Type="http://schemas.openxmlformats.org/officeDocument/2006/relationships/hyperlink" Target="http://givebiglexington.razoo.com/story/Thewelcomecenter" TargetMode="External"/><Relationship Id="rId28" Type="http://schemas.openxmlformats.org/officeDocument/2006/relationships/hyperlink" Target="http://givebiglexington.razoo.com/story/Daughtersoftheamericanrevolutionbonnevillechapter" TargetMode="External"/><Relationship Id="rId36" Type="http://schemas.openxmlformats.org/officeDocument/2006/relationships/hyperlink" Target="http://givebiglexington.razoo.com/story/Communityactionpartnershipofmidnebraska" TargetMode="External"/><Relationship Id="rId49" Type="http://schemas.openxmlformats.org/officeDocument/2006/relationships/hyperlink" Target="http://givebiglexington.razoo.com/story/Volunteerincometaxassistanceprogram" TargetMode="External"/><Relationship Id="rId57" Type="http://schemas.openxmlformats.org/officeDocument/2006/relationships/hyperlink" Target="http://givebiglexington.razoo.com/story/Dawsoncounty-Agsociety" TargetMode="External"/><Relationship Id="rId61" Type="http://schemas.openxmlformats.org/officeDocument/2006/relationships/hyperlink" Target="http://givebiglexington.razoo.com/story/Lexingtoneducationapprecitionfund" TargetMode="External"/><Relationship Id="rId10" Type="http://schemas.openxmlformats.org/officeDocument/2006/relationships/hyperlink" Target="http://givebiglexington.razoo.com/story/Club180" TargetMode="External"/><Relationship Id="rId19" Type="http://schemas.openxmlformats.org/officeDocument/2006/relationships/hyperlink" Target="http://givebiglexington.razoo.com/story/Lexingtonministerialassociation" TargetMode="External"/><Relationship Id="rId31" Type="http://schemas.openxmlformats.org/officeDocument/2006/relationships/hyperlink" Target="http://givebiglexington.razoo.com/story/Lexingtonbaseballassociation" TargetMode="External"/><Relationship Id="rId44" Type="http://schemas.openxmlformats.org/officeDocument/2006/relationships/hyperlink" Target="http://givebiglexington.razoo.com/story/Salvationarmy" TargetMode="External"/><Relationship Id="rId52" Type="http://schemas.openxmlformats.org/officeDocument/2006/relationships/hyperlink" Target="http://givebiglexington.razoo.com/story/Lexingtonboyscouts" TargetMode="External"/><Relationship Id="rId60" Type="http://schemas.openxmlformats.org/officeDocument/2006/relationships/hyperlink" Target="http://givebiglexington.razoo.com/story/Centralnebraskainterpretersgroup" TargetMode="External"/><Relationship Id="rId4" Type="http://schemas.openxmlformats.org/officeDocument/2006/relationships/hyperlink" Target="http://givebiglexington.razoo.com/story/Ymcaoflex" TargetMode="External"/><Relationship Id="rId9" Type="http://schemas.openxmlformats.org/officeDocument/2006/relationships/hyperlink" Target="http://givebiglexington.razoo.com/story/Mfaa" TargetMode="External"/><Relationship Id="rId14" Type="http://schemas.openxmlformats.org/officeDocument/2006/relationships/hyperlink" Target="http://givebiglexington.razoo.com/story/Missvozlatinaleadershipprogram" TargetMode="External"/><Relationship Id="rId22" Type="http://schemas.openxmlformats.org/officeDocument/2006/relationships/hyperlink" Target="http://givebiglexington.razoo.com/story/Johnsonlakefireworks" TargetMode="External"/><Relationship Id="rId27" Type="http://schemas.openxmlformats.org/officeDocument/2006/relationships/hyperlink" Target="http://givebiglexington.razoo.com/story/Dawsoncountyk-9unit" TargetMode="External"/><Relationship Id="rId30" Type="http://schemas.openxmlformats.org/officeDocument/2006/relationships/hyperlink" Target="http://givebiglexington.razoo.com/story/Lexingtongirlsfastpitchassociation" TargetMode="External"/><Relationship Id="rId35" Type="http://schemas.openxmlformats.org/officeDocument/2006/relationships/hyperlink" Target="http://givebiglexington.razoo.com/story/Lexoptimistclub" TargetMode="External"/><Relationship Id="rId43" Type="http://schemas.openxmlformats.org/officeDocument/2006/relationships/hyperlink" Target="http://givebiglexington.razoo.com/story/Lexconcertfund" TargetMode="External"/><Relationship Id="rId48" Type="http://schemas.openxmlformats.org/officeDocument/2006/relationships/hyperlink" Target="http://givebiglexington.razoo.com/story/Lexingtongirlscouts" TargetMode="External"/><Relationship Id="rId56" Type="http://schemas.openxmlformats.org/officeDocument/2006/relationships/hyperlink" Target="http://givebiglexington.razoo.com/story/Skateparkfund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://givebiglexington.razoo.com/story/Lexingtonregionalhealthcentercharitablefund" TargetMode="External"/><Relationship Id="rId51" Type="http://schemas.openxmlformats.org/officeDocument/2006/relationships/hyperlink" Target="http://givebiglexington.razoo.com/story/Crohnsandcolitisfoundationteamchallengeprogram" TargetMode="External"/><Relationship Id="rId3" Type="http://schemas.openxmlformats.org/officeDocument/2006/relationships/hyperlink" Target="http://givebiglexington.razoo.com/story/Lexingtonvolunteerfiredepartment" TargetMode="External"/><Relationship Id="rId12" Type="http://schemas.openxmlformats.org/officeDocument/2006/relationships/hyperlink" Target="http://givebiglexington.razoo.com/story/Dawsongospercountycasaprogram" TargetMode="External"/><Relationship Id="rId17" Type="http://schemas.openxmlformats.org/officeDocument/2006/relationships/hyperlink" Target="http://givebiglexington.razoo.com/story/Operationsantaclaus1" TargetMode="External"/><Relationship Id="rId25" Type="http://schemas.openxmlformats.org/officeDocument/2006/relationships/hyperlink" Target="http://givebiglexington.razoo.com/story/Good-Samaritan-Fund-2013" TargetMode="External"/><Relationship Id="rId33" Type="http://schemas.openxmlformats.org/officeDocument/2006/relationships/hyperlink" Target="http://givebiglexington.razoo.com/story/Class-Of-77-Scholarship-Fund" TargetMode="External"/><Relationship Id="rId38" Type="http://schemas.openxmlformats.org/officeDocument/2006/relationships/hyperlink" Target="http://givebiglexington.razoo.com/story/Lexingtonknightsofcolumbuscouncil" TargetMode="External"/><Relationship Id="rId46" Type="http://schemas.openxmlformats.org/officeDocument/2006/relationships/hyperlink" Target="http://givebiglexington.razoo.com/story/Lexingtonredcrossbloodmobile" TargetMode="External"/><Relationship Id="rId59" Type="http://schemas.openxmlformats.org/officeDocument/2006/relationships/hyperlink" Target="http://givebiglexington.razoo.com/story/Lexingtonyouthbowlingleag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6"/>
  <sheetViews>
    <sheetView tabSelected="1" topLeftCell="A13" workbookViewId="0">
      <selection activeCell="E19" sqref="E19"/>
    </sheetView>
  </sheetViews>
  <sheetFormatPr defaultRowHeight="14.4"/>
  <cols>
    <col min="6" max="6" width="21.88671875" bestFit="1" customWidth="1"/>
    <col min="8" max="8" width="9" bestFit="1" customWidth="1"/>
  </cols>
  <sheetData>
    <row r="1" spans="1:24" ht="72">
      <c r="A1" s="1">
        <v>1</v>
      </c>
      <c r="B1" s="2" t="s">
        <v>2</v>
      </c>
      <c r="C1" s="3">
        <v>136</v>
      </c>
      <c r="D1" s="5">
        <v>11271</v>
      </c>
      <c r="F1" s="6">
        <v>16</v>
      </c>
      <c r="G1" s="7" t="s">
        <v>9</v>
      </c>
      <c r="H1" s="8">
        <v>17</v>
      </c>
      <c r="I1" s="9">
        <v>7250</v>
      </c>
      <c r="K1" s="1">
        <v>31</v>
      </c>
      <c r="L1" s="2" t="s">
        <v>38</v>
      </c>
      <c r="M1" s="3">
        <v>7</v>
      </c>
      <c r="N1" s="5">
        <v>1665</v>
      </c>
      <c r="P1" s="6">
        <v>46</v>
      </c>
      <c r="Q1" s="7" t="s">
        <v>55</v>
      </c>
      <c r="R1" s="8">
        <v>3</v>
      </c>
      <c r="S1" s="9">
        <v>360</v>
      </c>
      <c r="U1" s="1">
        <v>61</v>
      </c>
      <c r="V1" s="2" t="s">
        <v>66</v>
      </c>
      <c r="W1" s="3">
        <v>0</v>
      </c>
      <c r="X1" s="5">
        <v>0</v>
      </c>
    </row>
    <row r="2" spans="1:24" ht="86.4">
      <c r="A2" s="6">
        <v>2</v>
      </c>
      <c r="B2" s="7" t="s">
        <v>0</v>
      </c>
      <c r="C2" s="8">
        <v>73</v>
      </c>
      <c r="D2" s="9">
        <v>114065</v>
      </c>
      <c r="F2" s="1">
        <v>17</v>
      </c>
      <c r="G2" s="2" t="s">
        <v>18</v>
      </c>
      <c r="H2" s="3">
        <v>17</v>
      </c>
      <c r="I2" s="5">
        <v>2050</v>
      </c>
      <c r="K2" s="6">
        <v>32</v>
      </c>
      <c r="L2" s="7" t="s">
        <v>46</v>
      </c>
      <c r="M2" s="8">
        <v>7</v>
      </c>
      <c r="N2" s="9">
        <v>415</v>
      </c>
      <c r="P2" s="1">
        <v>47</v>
      </c>
      <c r="Q2" s="2" t="s">
        <v>59</v>
      </c>
      <c r="R2" s="3">
        <v>3</v>
      </c>
      <c r="S2" s="5">
        <v>200</v>
      </c>
      <c r="U2" s="6">
        <v>62</v>
      </c>
      <c r="V2" s="7" t="s">
        <v>52</v>
      </c>
      <c r="W2" s="8">
        <v>0</v>
      </c>
      <c r="X2" s="9">
        <v>0</v>
      </c>
    </row>
    <row r="3" spans="1:24" ht="72">
      <c r="A3" s="1">
        <v>3</v>
      </c>
      <c r="B3" s="2" t="s">
        <v>5</v>
      </c>
      <c r="C3" s="3">
        <v>51</v>
      </c>
      <c r="D3" s="5">
        <v>6925</v>
      </c>
      <c r="F3" s="6">
        <v>18</v>
      </c>
      <c r="G3" s="7" t="s">
        <v>39</v>
      </c>
      <c r="H3" s="8">
        <v>16</v>
      </c>
      <c r="I3" s="9">
        <v>1155</v>
      </c>
      <c r="K3" s="1">
        <v>33</v>
      </c>
      <c r="L3" s="2" t="s">
        <v>27</v>
      </c>
      <c r="M3" s="3">
        <v>6</v>
      </c>
      <c r="N3" s="5">
        <v>425</v>
      </c>
      <c r="P3" s="6">
        <v>48</v>
      </c>
      <c r="Q3" s="7" t="s">
        <v>51</v>
      </c>
      <c r="R3" s="8">
        <v>3</v>
      </c>
      <c r="S3" s="9">
        <v>145</v>
      </c>
      <c r="U3" s="1">
        <v>63</v>
      </c>
      <c r="V3" s="2" t="s">
        <v>53</v>
      </c>
      <c r="W3" s="3">
        <v>0</v>
      </c>
      <c r="X3" s="5">
        <v>0</v>
      </c>
    </row>
    <row r="4" spans="1:24" ht="86.4">
      <c r="A4" s="6">
        <v>4</v>
      </c>
      <c r="B4" s="7" t="s">
        <v>1</v>
      </c>
      <c r="C4" s="8">
        <v>45</v>
      </c>
      <c r="D4" s="9">
        <v>26104</v>
      </c>
      <c r="F4" s="1">
        <v>19</v>
      </c>
      <c r="G4" s="2" t="s">
        <v>19</v>
      </c>
      <c r="H4" s="3">
        <v>15</v>
      </c>
      <c r="I4" s="5">
        <v>1785</v>
      </c>
      <c r="K4" s="6">
        <v>34</v>
      </c>
      <c r="L4" s="7" t="s">
        <v>22</v>
      </c>
      <c r="M4" s="8">
        <v>6</v>
      </c>
      <c r="N4" s="9">
        <v>230</v>
      </c>
      <c r="P4" s="1">
        <v>49</v>
      </c>
      <c r="Q4" s="2" t="s">
        <v>41</v>
      </c>
      <c r="R4" s="3">
        <v>3</v>
      </c>
      <c r="S4" s="5">
        <v>90</v>
      </c>
      <c r="X4" s="4">
        <f>SUM(X1:X3)</f>
        <v>0</v>
      </c>
    </row>
    <row r="5" spans="1:24" ht="86.4">
      <c r="A5" s="1">
        <v>5</v>
      </c>
      <c r="B5" s="2" t="s">
        <v>11</v>
      </c>
      <c r="C5" s="3">
        <v>35</v>
      </c>
      <c r="D5" s="5">
        <v>14953</v>
      </c>
      <c r="F5" s="6">
        <v>20</v>
      </c>
      <c r="G5" s="7" t="s">
        <v>43</v>
      </c>
      <c r="H5" s="8">
        <v>14</v>
      </c>
      <c r="I5" s="9">
        <v>6905</v>
      </c>
      <c r="K5" s="1">
        <v>35</v>
      </c>
      <c r="L5" s="2" t="s">
        <v>32</v>
      </c>
      <c r="M5" s="3">
        <v>5</v>
      </c>
      <c r="N5" s="5">
        <v>1320</v>
      </c>
      <c r="P5" s="6">
        <v>50</v>
      </c>
      <c r="Q5" s="7" t="s">
        <v>54</v>
      </c>
      <c r="R5" s="8">
        <v>3</v>
      </c>
      <c r="S5" s="9">
        <v>70</v>
      </c>
    </row>
    <row r="6" spans="1:24" ht="100.8">
      <c r="A6" s="6">
        <v>6</v>
      </c>
      <c r="B6" s="7" t="s">
        <v>12</v>
      </c>
      <c r="C6" s="8">
        <v>35</v>
      </c>
      <c r="D6" s="9">
        <v>3809</v>
      </c>
      <c r="F6" s="1">
        <v>21</v>
      </c>
      <c r="G6" s="2" t="s">
        <v>20</v>
      </c>
      <c r="H6" s="3">
        <v>14</v>
      </c>
      <c r="I6" s="5">
        <v>1745</v>
      </c>
      <c r="K6" s="6">
        <v>36</v>
      </c>
      <c r="L6" s="7" t="s">
        <v>34</v>
      </c>
      <c r="M6" s="8">
        <v>5</v>
      </c>
      <c r="N6" s="9">
        <v>825</v>
      </c>
      <c r="P6" s="1">
        <v>51</v>
      </c>
      <c r="Q6" s="2" t="s">
        <v>47</v>
      </c>
      <c r="R6" s="3">
        <v>3</v>
      </c>
      <c r="S6" s="5">
        <v>60</v>
      </c>
    </row>
    <row r="7" spans="1:24" ht="100.8">
      <c r="A7" s="1">
        <v>7</v>
      </c>
      <c r="B7" s="2" t="s">
        <v>3</v>
      </c>
      <c r="C7" s="3">
        <v>32</v>
      </c>
      <c r="D7" s="5">
        <v>7200</v>
      </c>
      <c r="F7" s="6">
        <v>22</v>
      </c>
      <c r="G7" s="7" t="s">
        <v>21</v>
      </c>
      <c r="H7" s="8">
        <v>14</v>
      </c>
      <c r="I7" s="9">
        <v>1625</v>
      </c>
      <c r="K7" s="1">
        <v>37</v>
      </c>
      <c r="L7" s="2" t="s">
        <v>31</v>
      </c>
      <c r="M7" s="3">
        <v>5</v>
      </c>
      <c r="N7" s="5">
        <v>530</v>
      </c>
      <c r="P7" s="6">
        <v>52</v>
      </c>
      <c r="Q7" s="7" t="s">
        <v>50</v>
      </c>
      <c r="R7" s="8">
        <v>2</v>
      </c>
      <c r="S7" s="9">
        <v>1600</v>
      </c>
    </row>
    <row r="8" spans="1:24" ht="86.4">
      <c r="A8" s="6">
        <v>8</v>
      </c>
      <c r="B8" s="7" t="s">
        <v>4</v>
      </c>
      <c r="C8" s="8">
        <v>32</v>
      </c>
      <c r="D8" s="9">
        <v>6295</v>
      </c>
      <c r="F8" s="1">
        <v>23</v>
      </c>
      <c r="G8" s="2" t="s">
        <v>25</v>
      </c>
      <c r="H8" s="3">
        <v>10</v>
      </c>
      <c r="I8" s="5">
        <v>3135</v>
      </c>
      <c r="K8" s="6">
        <v>38</v>
      </c>
      <c r="L8" s="7" t="s">
        <v>29</v>
      </c>
      <c r="M8" s="8">
        <v>5</v>
      </c>
      <c r="N8" s="9">
        <v>115</v>
      </c>
      <c r="P8" s="1">
        <v>53</v>
      </c>
      <c r="Q8" s="2" t="s">
        <v>56</v>
      </c>
      <c r="R8" s="3">
        <v>2</v>
      </c>
      <c r="S8" s="5">
        <v>150</v>
      </c>
    </row>
    <row r="9" spans="1:24" ht="86.4">
      <c r="A9" s="1">
        <v>9</v>
      </c>
      <c r="B9" s="2" t="s">
        <v>14</v>
      </c>
      <c r="C9" s="3">
        <v>30</v>
      </c>
      <c r="D9" s="5">
        <v>3878</v>
      </c>
      <c r="F9" s="6">
        <v>24</v>
      </c>
      <c r="G9" s="7" t="s">
        <v>16</v>
      </c>
      <c r="H9" s="8">
        <v>10</v>
      </c>
      <c r="I9" s="9">
        <v>790</v>
      </c>
      <c r="K9" s="1">
        <v>39</v>
      </c>
      <c r="L9" s="2" t="s">
        <v>44</v>
      </c>
      <c r="M9" s="3">
        <v>5</v>
      </c>
      <c r="N9" s="5">
        <v>115</v>
      </c>
      <c r="P9" s="6">
        <v>54</v>
      </c>
      <c r="Q9" s="7" t="s">
        <v>26</v>
      </c>
      <c r="R9" s="8">
        <v>2</v>
      </c>
      <c r="S9" s="9">
        <v>145</v>
      </c>
    </row>
    <row r="10" spans="1:24" ht="86.4">
      <c r="A10" s="6">
        <v>10</v>
      </c>
      <c r="B10" s="7" t="s">
        <v>6</v>
      </c>
      <c r="C10" s="8">
        <v>29</v>
      </c>
      <c r="D10" s="9">
        <v>10619</v>
      </c>
      <c r="F10" s="1">
        <v>25</v>
      </c>
      <c r="G10" s="2" t="s">
        <v>15</v>
      </c>
      <c r="H10" s="3">
        <v>9</v>
      </c>
      <c r="I10" s="5">
        <v>1150</v>
      </c>
      <c r="K10" s="6">
        <v>40</v>
      </c>
      <c r="L10" s="7" t="s">
        <v>30</v>
      </c>
      <c r="M10" s="8">
        <v>5</v>
      </c>
      <c r="N10" s="9">
        <v>100</v>
      </c>
      <c r="P10" s="1">
        <v>55</v>
      </c>
      <c r="Q10" s="2" t="s">
        <v>36</v>
      </c>
      <c r="R10" s="3">
        <v>2</v>
      </c>
      <c r="S10" s="5">
        <v>120</v>
      </c>
    </row>
    <row r="11" spans="1:24" ht="100.8">
      <c r="A11" s="1">
        <v>11</v>
      </c>
      <c r="B11" s="2" t="s">
        <v>7</v>
      </c>
      <c r="C11" s="3">
        <v>24</v>
      </c>
      <c r="D11" s="5">
        <v>2493</v>
      </c>
      <c r="F11" s="6">
        <v>26</v>
      </c>
      <c r="G11" s="7" t="s">
        <v>40</v>
      </c>
      <c r="H11" s="8">
        <v>9</v>
      </c>
      <c r="I11" s="9">
        <v>240</v>
      </c>
      <c r="K11" s="1">
        <v>41</v>
      </c>
      <c r="L11" s="2" t="s">
        <v>35</v>
      </c>
      <c r="M11" s="3">
        <v>4</v>
      </c>
      <c r="N11" s="5">
        <v>385</v>
      </c>
      <c r="P11" s="6">
        <v>56</v>
      </c>
      <c r="Q11" s="7" t="s">
        <v>60</v>
      </c>
      <c r="R11" s="8">
        <v>1</v>
      </c>
      <c r="S11" s="9">
        <v>50</v>
      </c>
    </row>
    <row r="12" spans="1:24" ht="72">
      <c r="A12" s="6">
        <v>12</v>
      </c>
      <c r="B12" s="7" t="s">
        <v>8</v>
      </c>
      <c r="C12" s="8">
        <v>22</v>
      </c>
      <c r="D12" s="9">
        <v>9910</v>
      </c>
      <c r="F12" s="1">
        <v>27</v>
      </c>
      <c r="G12" s="2" t="s">
        <v>49</v>
      </c>
      <c r="H12" s="3">
        <v>8</v>
      </c>
      <c r="I12" s="5">
        <v>1105</v>
      </c>
      <c r="K12" s="6">
        <v>42</v>
      </c>
      <c r="L12" s="7" t="s">
        <v>42</v>
      </c>
      <c r="M12" s="8">
        <v>4</v>
      </c>
      <c r="N12" s="9">
        <v>130</v>
      </c>
      <c r="P12" s="1">
        <v>57</v>
      </c>
      <c r="Q12" s="2" t="s">
        <v>48</v>
      </c>
      <c r="R12" s="3">
        <v>1</v>
      </c>
      <c r="S12" s="5">
        <v>25</v>
      </c>
    </row>
    <row r="13" spans="1:24" ht="100.8">
      <c r="A13" s="1">
        <v>13</v>
      </c>
      <c r="B13" s="2" t="s">
        <v>10</v>
      </c>
      <c r="C13" s="3">
        <v>19</v>
      </c>
      <c r="D13" s="5">
        <v>3365</v>
      </c>
      <c r="F13" s="6">
        <v>28</v>
      </c>
      <c r="G13" s="7" t="s">
        <v>24</v>
      </c>
      <c r="H13" s="8">
        <v>8</v>
      </c>
      <c r="I13" s="9">
        <v>990</v>
      </c>
      <c r="K13" s="1">
        <v>43</v>
      </c>
      <c r="L13" s="2" t="s">
        <v>23</v>
      </c>
      <c r="M13" s="3">
        <v>3</v>
      </c>
      <c r="N13" s="5">
        <v>1370</v>
      </c>
      <c r="P13" s="6">
        <v>58</v>
      </c>
      <c r="Q13" s="7" t="s">
        <v>57</v>
      </c>
      <c r="R13" s="8">
        <v>1</v>
      </c>
      <c r="S13" s="9">
        <v>15</v>
      </c>
    </row>
    <row r="14" spans="1:24" ht="72">
      <c r="A14" s="6">
        <v>14</v>
      </c>
      <c r="B14" s="7" t="s">
        <v>13</v>
      </c>
      <c r="C14" s="8">
        <v>19</v>
      </c>
      <c r="D14" s="9">
        <v>895</v>
      </c>
      <c r="F14" s="1">
        <v>29</v>
      </c>
      <c r="G14" s="2" t="s">
        <v>28</v>
      </c>
      <c r="H14" s="3">
        <v>8</v>
      </c>
      <c r="I14" s="5">
        <v>510</v>
      </c>
      <c r="K14" s="6">
        <v>44</v>
      </c>
      <c r="L14" s="7" t="s">
        <v>33</v>
      </c>
      <c r="M14" s="8">
        <v>3</v>
      </c>
      <c r="N14" s="9">
        <v>710</v>
      </c>
      <c r="P14" s="1">
        <v>59</v>
      </c>
      <c r="Q14" s="2" t="s">
        <v>58</v>
      </c>
      <c r="R14" s="3">
        <v>1</v>
      </c>
      <c r="S14" s="5">
        <v>15</v>
      </c>
    </row>
    <row r="15" spans="1:24" ht="72">
      <c r="A15" s="1">
        <v>15</v>
      </c>
      <c r="B15" s="2" t="s">
        <v>17</v>
      </c>
      <c r="C15" s="3">
        <v>18</v>
      </c>
      <c r="D15" s="5">
        <v>3343</v>
      </c>
      <c r="F15" s="6">
        <v>30</v>
      </c>
      <c r="G15" s="7" t="s">
        <v>37</v>
      </c>
      <c r="H15" s="8">
        <v>7</v>
      </c>
      <c r="I15" s="9">
        <v>1900</v>
      </c>
      <c r="K15" s="1">
        <v>45</v>
      </c>
      <c r="L15" s="2" t="s">
        <v>61</v>
      </c>
      <c r="M15" s="3">
        <v>3</v>
      </c>
      <c r="N15" s="5">
        <v>575</v>
      </c>
      <c r="P15" s="6">
        <v>60</v>
      </c>
      <c r="Q15" s="7" t="s">
        <v>45</v>
      </c>
      <c r="R15" s="8">
        <v>0</v>
      </c>
      <c r="S15" s="9">
        <v>0</v>
      </c>
    </row>
    <row r="16" spans="1:24">
      <c r="D16" s="4">
        <f>SUM(D1:D15)</f>
        <v>225125</v>
      </c>
      <c r="I16" s="4">
        <f>SUM(I1:I15)</f>
        <v>32335</v>
      </c>
      <c r="N16" s="4">
        <f>SUM(N1:N15)</f>
        <v>8910</v>
      </c>
      <c r="S16" s="4">
        <f>SUM(S1:S15)</f>
        <v>3045</v>
      </c>
    </row>
    <row r="19" spans="6:11">
      <c r="F19" s="10" t="s">
        <v>63</v>
      </c>
      <c r="G19" s="10"/>
      <c r="H19" s="10">
        <f>900+250+10</f>
        <v>1160</v>
      </c>
    </row>
    <row r="20" spans="6:11">
      <c r="F20" s="10" t="s">
        <v>62</v>
      </c>
      <c r="G20" s="10"/>
      <c r="H20" s="11">
        <f>D16+I16+N16+S16+X4</f>
        <v>269415</v>
      </c>
    </row>
    <row r="21" spans="6:11">
      <c r="F21" s="10" t="s">
        <v>65</v>
      </c>
      <c r="G21" s="10"/>
      <c r="H21" s="11">
        <v>116000</v>
      </c>
    </row>
    <row r="22" spans="6:11">
      <c r="F22" s="12" t="s">
        <v>64</v>
      </c>
      <c r="G22" s="10"/>
      <c r="H22" s="11">
        <f>H20+H19+H21</f>
        <v>386575</v>
      </c>
    </row>
    <row r="26" spans="6:11">
      <c r="K26" s="4"/>
    </row>
  </sheetData>
  <hyperlinks>
    <hyperlink ref="B1" r:id="rId1" display="http://givebiglexington.razoo.com/story/Lexingtonmajestictheaterproject"/>
    <hyperlink ref="B2" r:id="rId2" display="http://givebiglexington.razoo.com/story/Jltrails"/>
    <hyperlink ref="B3" r:id="rId3" display="http://givebiglexington.razoo.com/story/Lexingtonvolunteerfiredepartment"/>
    <hyperlink ref="B4" r:id="rId4" display="http://givebiglexington.razoo.com/story/Ymcaoflex"/>
    <hyperlink ref="B5" r:id="rId5" display="http://givebiglexington.razoo.com/story/Dawsoncountychildrensmuseum"/>
    <hyperlink ref="B6" r:id="rId6" display="http://givebiglexington.razoo.com/story/Lexingtonareacommunitychoir"/>
    <hyperlink ref="B7" r:id="rId7" display="http://givebiglexington.razoo.com/story/Dawsoncountyhistoricalsocietyandmuseum"/>
    <hyperlink ref="B8" r:id="rId8" display="http://givebiglexington.razoo.com/story/Lexingtonregionalhealthcentercharitablefund"/>
    <hyperlink ref="B9" r:id="rId9" display="http://givebiglexington.razoo.com/story/Mfaa"/>
    <hyperlink ref="B10" r:id="rId10" display="http://givebiglexington.razoo.com/story/Club180"/>
    <hyperlink ref="B11" r:id="rId11" display="http://givebiglexington.razoo.com/story/Dawsoncountyparentchildprotectiveservices"/>
    <hyperlink ref="B12" r:id="rId12" display="http://givebiglexington.razoo.com/story/Dawsongospercountycasaprogram"/>
    <hyperlink ref="B13" r:id="rId13" display="http://givebiglexington.razoo.com/story/Lexingtonareaunitedway"/>
    <hyperlink ref="B14" r:id="rId14" display="http://givebiglexington.razoo.com/story/Missvozlatinaleadershipprogram"/>
    <hyperlink ref="B15" r:id="rId15" display="http://givebiglexington.razoo.com/story/Johnsonlake-Ems"/>
    <hyperlink ref="G1" r:id="rId16" display="http://givebiglexington.razoo.com/story/Backpacksforkids"/>
    <hyperlink ref="G2" r:id="rId17" display="http://givebiglexington.razoo.com/story/Operationsantaclaus1"/>
    <hyperlink ref="G3" r:id="rId18" display="http://givebiglexington.razoo.com/story/Lexingtonathleticboosterclub"/>
    <hyperlink ref="G4" r:id="rId19" display="http://givebiglexington.razoo.com/story/Lexingtonministerialassociation"/>
    <hyperlink ref="G5" r:id="rId20" display="http://givebiglexington.razoo.com/story/Heartlandmuseumofmilitaryvehicles"/>
    <hyperlink ref="G6" r:id="rId21" display="http://givebiglexington.razoo.com/story/Dawsoncounty4-H"/>
    <hyperlink ref="G7" r:id="rId22" display="http://givebiglexington.razoo.com/story/Johnsonlakefireworks"/>
    <hyperlink ref="G8" r:id="rId23" display="http://givebiglexington.razoo.com/story/Thewelcomecenter"/>
    <hyperlink ref="G9" r:id="rId24" display="http://givebiglexington.razoo.com/story/Lexingtonpubliclibraryfriendsofthelibrary"/>
    <hyperlink ref="G10" r:id="rId25" display="http://givebiglexington.razoo.com/story/Good-Samaritan-Fund-2013"/>
    <hyperlink ref="G11" r:id="rId26" display="http://givebiglexington.razoo.com/story/Passionforpaws"/>
    <hyperlink ref="G12" r:id="rId27" display="http://givebiglexington.razoo.com/story/Dawsoncountyk-9unit"/>
    <hyperlink ref="G13" r:id="rId28" display="http://givebiglexington.razoo.com/story/Daughtersoftheamericanrevolutionbonnevillechapter"/>
    <hyperlink ref="G14" r:id="rId29" display="http://givebiglexington.razoo.com/story/Lexingtonfireworksfund"/>
    <hyperlink ref="G15" r:id="rId30" display="http://givebiglexington.razoo.com/story/Lexingtongirlsfastpitchassociation"/>
    <hyperlink ref="L1" r:id="rId31" display="http://givebiglexington.razoo.com/story/Lexingtonbaseballassociation"/>
    <hyperlink ref="L2" r:id="rId32" display="http://givebiglexington.razoo.com/story/Cfilex"/>
    <hyperlink ref="L3" r:id="rId33" display="http://givebiglexington.razoo.com/story/Class-Of-77-Scholarship-Fund"/>
    <hyperlink ref="L4" r:id="rId34" display="http://givebiglexington.razoo.com/story/Plumcreekdays2014"/>
    <hyperlink ref="L5" r:id="rId35" display="http://givebiglexington.razoo.com/story/Lexoptimistclub"/>
    <hyperlink ref="L6" r:id="rId36" display="http://givebiglexington.razoo.com/story/Communityactionpartnershipofmidnebraska"/>
    <hyperlink ref="L7" r:id="rId37" display="http://givebiglexington.razoo.com/story/Tri-Countyshrineclubtransportationfund"/>
    <hyperlink ref="L8" r:id="rId38" display="http://givebiglexington.razoo.com/story/Lexingtonknightsofcolumbuscouncil"/>
    <hyperlink ref="L9" r:id="rId39" display="http://givebiglexington.razoo.com/story/Plumcreekcommunityplayers1"/>
    <hyperlink ref="L10" r:id="rId40" display="http://givebiglexington.razoo.com/story/Somalicommunitycenteroflexingtonnebraska"/>
    <hyperlink ref="L11" r:id="rId41" display="http://givebiglexington.razoo.com/story/Keep-Lex-Beautiful"/>
    <hyperlink ref="L12" r:id="rId42" display="http://givebiglexington.razoo.com/story/Grandgenerationcenter"/>
    <hyperlink ref="L13" r:id="rId43" display="http://givebiglexington.razoo.com/story/Lexconcertfund"/>
    <hyperlink ref="L14" r:id="rId44" display="http://givebiglexington.razoo.com/story/Salvationarmy"/>
    <hyperlink ref="L15" r:id="rId45" display="http://givebiglexington.razoo.com/story/Teammatesoflexington"/>
    <hyperlink ref="Q1" r:id="rId46" display="http://givebiglexington.razoo.com/story/Lexingtonredcrossbloodmobile"/>
    <hyperlink ref="Q2" r:id="rId47" display="http://givebiglexington.razoo.com/story/Mealsonwheels"/>
    <hyperlink ref="Q3" r:id="rId48" display="http://givebiglexington.razoo.com/story/Lexingtongirlscouts"/>
    <hyperlink ref="Q4" r:id="rId49" display="http://givebiglexington.razoo.com/story/Volunteerincometaxassistanceprogram"/>
    <hyperlink ref="Q5" r:id="rId50" display="http://givebiglexington.razoo.com/story/Lexingtonparksandtrailsfund"/>
    <hyperlink ref="Q6" r:id="rId51" display="http://givebiglexington.razoo.com/story/Crohnsandcolitisfoundationteamchallengeprogram"/>
    <hyperlink ref="Q7" r:id="rId52" display="http://givebiglexington.razoo.com/story/Lexingtonboyscouts"/>
    <hyperlink ref="Q8" r:id="rId53" display="http://givebiglexington.razoo.com/story/Lexingtonrotary"/>
    <hyperlink ref="Q9" r:id="rId54" display="http://givebiglexington.razoo.com/story/Alumnischolarshipfund"/>
    <hyperlink ref="Q10" r:id="rId55" display="http://givebiglexington.razoo.com/story/Relayforlifeofdawsoncounty"/>
    <hyperlink ref="Q11" r:id="rId56" display="http://givebiglexington.razoo.com/story/Skateparkfund"/>
    <hyperlink ref="Q12" r:id="rId57" display="http://givebiglexington.razoo.com/story/Dawsoncounty-Agsociety"/>
    <hyperlink ref="Q13" r:id="rId58" display="http://givebiglexington.razoo.com/story/Lexingtonsoccerleague"/>
    <hyperlink ref="Q14" r:id="rId59" display="http://givebiglexington.razoo.com/story/Lexingtonyouthbowlingleague"/>
    <hyperlink ref="Q15" r:id="rId60" display="http://givebiglexington.razoo.com/story/Centralnebraskainterpretersgroup"/>
    <hyperlink ref="V1" r:id="rId61" display="http://givebiglexington.razoo.com/story/Lexingtoneducationapprecitionfund"/>
    <hyperlink ref="V2" r:id="rId62" display="http://givebiglexington.razoo.com/story/Lexingtonalumniassociation"/>
    <hyperlink ref="V3" r:id="rId63" display="http://givebiglexington.razoo.com/story/Lexlionsclub"/>
  </hyperlinks>
  <pageMargins left="0.7" right="0.7" top="0.75" bottom="0.75" header="0.3" footer="0.3"/>
  <pageSetup orientation="portrait" horizontalDpi="0" verticalDpi="0" r:id="rId6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2012-11-16T06:12:58Z</dcterms:modified>
</cp:coreProperties>
</file>