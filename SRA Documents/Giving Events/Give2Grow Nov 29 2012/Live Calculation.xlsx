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M26" i="1"/>
  <c r="N2"/>
  <c r="I21"/>
  <c r="D21"/>
  <c r="M25" l="1"/>
  <c r="M29" s="1"/>
</calcChain>
</file>

<file path=xl/sharedStrings.xml><?xml version="1.0" encoding="utf-8"?>
<sst xmlns="http://schemas.openxmlformats.org/spreadsheetml/2006/main" count="45" uniqueCount="45">
  <si>
    <t>Christian Charity Fund</t>
  </si>
  <si>
    <t>Holdrege Memorial Homes</t>
  </si>
  <si>
    <t>YMCA of the Prairie</t>
  </si>
  <si>
    <t>Holdrege Animal Shelter Inc.</t>
  </si>
  <si>
    <t>Bertrand Area Community Foundation Fund</t>
  </si>
  <si>
    <t>Funk School Community Center</t>
  </si>
  <si>
    <t>Young at Heart Senior Center Building Fund</t>
  </si>
  <si>
    <t>Phelps County Historical Society</t>
  </si>
  <si>
    <t>Christian Homes Care Community, 1923 West 4th Ave. - Phelps Couney - Holdrege NE</t>
  </si>
  <si>
    <t>Mosaic Holdrege</t>
  </si>
  <si>
    <t>Bertrand Fire/Rescue Emergency Unit</t>
  </si>
  <si>
    <t>Holdrege Area Public Library</t>
  </si>
  <si>
    <t>Citizens for Bronze Art</t>
  </si>
  <si>
    <t>Phelps Community Pantry</t>
  </si>
  <si>
    <t>Holdrege Teammates</t>
  </si>
  <si>
    <t>Tassel Performing Arts Center</t>
  </si>
  <si>
    <t>Future Fund</t>
  </si>
  <si>
    <t>Loomis In-Zone Youth Center</t>
  </si>
  <si>
    <t>Phelps/Harlan County CASA</t>
  </si>
  <si>
    <t>Holdrege Rotary Club</t>
  </si>
  <si>
    <t>Holdrege Public Schools Foundation</t>
  </si>
  <si>
    <t>Funk Improvement Council</t>
  </si>
  <si>
    <t>Phelps Memorial Service League</t>
  </si>
  <si>
    <t>Phelps County 4-H Foundation</t>
  </si>
  <si>
    <t>Kiwanis Club of Holdrege</t>
  </si>
  <si>
    <t>Holdrege Legion Baseball</t>
  </si>
  <si>
    <t>Loomis Public School</t>
  </si>
  <si>
    <t>South Platte Youth Athletic Club</t>
  </si>
  <si>
    <t>Bertrand Lions Club Foundation</t>
  </si>
  <si>
    <t>Bertrand School Media Center Renovation</t>
  </si>
  <si>
    <t>Holdrege Area Chamber of Commerce Community Improvement Fund</t>
  </si>
  <si>
    <t>Class of 1965 Scholarship</t>
  </si>
  <si>
    <t>Bertrand Community Building Exterior Renovations</t>
  </si>
  <si>
    <t>Phelps Memorial Health Center</t>
  </si>
  <si>
    <t>Phelps County Senior Center</t>
  </si>
  <si>
    <t>Central Comunity College-Holdrege Scholarship Fund</t>
  </si>
  <si>
    <t>Bertrand Nursing Home and Assisted Living</t>
  </si>
  <si>
    <t>HHS Class of 1966 Scholarship Fund</t>
  </si>
  <si>
    <t>Bertrand Community School</t>
  </si>
  <si>
    <t>Village of Loomis</t>
  </si>
  <si>
    <t>Holdrege Optimist Club</t>
  </si>
  <si>
    <t>LB Total</t>
  </si>
  <si>
    <t>Prize Amount</t>
  </si>
  <si>
    <t>Grand Total</t>
  </si>
  <si>
    <t>Donation to Phelps community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</si>
</sst>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5A3308"/>
      <name val="Arial"/>
      <family val="2"/>
    </font>
    <font>
      <sz val="9"/>
      <color rgb="FF23374D"/>
      <name val="Arial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1D7CE"/>
        <bgColor indexed="64"/>
      </patternFill>
    </fill>
    <fill>
      <patternFill patternType="solid">
        <fgColor rgb="FFEDE7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0" applyFont="1" applyFill="1" applyAlignment="1">
      <alignment horizontal="right" vertical="center" wrapText="1" indent="2"/>
    </xf>
    <xf numFmtId="0" fontId="4" fillId="2" borderId="0" xfId="1" applyFill="1" applyAlignment="1" applyProtection="1">
      <alignment vertical="center" wrapText="1"/>
    </xf>
    <xf numFmtId="0" fontId="3" fillId="2" borderId="0" xfId="0" applyFont="1" applyFill="1" applyAlignment="1">
      <alignment vertical="center" wrapText="1"/>
    </xf>
    <xf numFmtId="6" fontId="0" fillId="0" borderId="0" xfId="0" applyNumberFormat="1"/>
    <xf numFmtId="6" fontId="2" fillId="2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horizontal="right" vertical="center" wrapText="1" indent="2"/>
    </xf>
    <xf numFmtId="0" fontId="4" fillId="3" borderId="0" xfId="1" applyFill="1" applyAlignment="1" applyProtection="1">
      <alignment vertical="center" wrapText="1"/>
    </xf>
    <xf numFmtId="0" fontId="3" fillId="3" borderId="0" xfId="0" applyFont="1" applyFill="1" applyAlignment="1">
      <alignment vertical="center" wrapText="1"/>
    </xf>
    <xf numFmtId="6" fontId="2" fillId="3" borderId="0" xfId="0" applyNumberFormat="1" applyFont="1" applyFill="1" applyAlignment="1">
      <alignment vertical="center" wrapText="1"/>
    </xf>
    <xf numFmtId="0" fontId="0" fillId="0" borderId="1" xfId="0" applyBorder="1"/>
    <xf numFmtId="6" fontId="0" fillId="0" borderId="1" xfId="0" applyNumberFormat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give2grow.razoo.com/story/Phelps-Community-Pantry-1" TargetMode="External"/><Relationship Id="rId13" Type="http://schemas.openxmlformats.org/officeDocument/2006/relationships/hyperlink" Target="http://give2grow.razoo.com/story/Holdrege-Legion-Baseball" TargetMode="External"/><Relationship Id="rId18" Type="http://schemas.openxmlformats.org/officeDocument/2006/relationships/hyperlink" Target="http://give2grow.razoo.com/story/Bertrand-Fire-Rescue" TargetMode="External"/><Relationship Id="rId26" Type="http://schemas.openxmlformats.org/officeDocument/2006/relationships/hyperlink" Target="http://give2grow.razoo.com/story/Class-Of-1965-Scholarship" TargetMode="External"/><Relationship Id="rId39" Type="http://schemas.openxmlformats.org/officeDocument/2006/relationships/hyperlink" Target="http://give2grow.razoo.com/story/Central-Comunity-College-Holdrege" TargetMode="External"/><Relationship Id="rId3" Type="http://schemas.openxmlformats.org/officeDocument/2006/relationships/hyperlink" Target="http://give2grow.razoo.com/story/Citizens-For-Bronze-Art" TargetMode="External"/><Relationship Id="rId21" Type="http://schemas.openxmlformats.org/officeDocument/2006/relationships/hyperlink" Target="http://give2grow.razoo.com/story/Phelps-County-Senior-Center" TargetMode="External"/><Relationship Id="rId34" Type="http://schemas.openxmlformats.org/officeDocument/2006/relationships/hyperlink" Target="http://give2grow.razoo.com/story/Kiwanis-Club-Of-Holdrege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://give2grow.razoo.com/story/Christian-Charity-Fund" TargetMode="External"/><Relationship Id="rId12" Type="http://schemas.openxmlformats.org/officeDocument/2006/relationships/hyperlink" Target="http://give2grow.razoo.com/story/Holdrege-Animal-Shelter-2" TargetMode="External"/><Relationship Id="rId17" Type="http://schemas.openxmlformats.org/officeDocument/2006/relationships/hyperlink" Target="http://give2grow.razoo.com/story/Holdrege-Memorial-Homes-1" TargetMode="External"/><Relationship Id="rId25" Type="http://schemas.openxmlformats.org/officeDocument/2006/relationships/hyperlink" Target="http://give2grow.razoo.com/story/Loomis-In-Zone-Youth-Center" TargetMode="External"/><Relationship Id="rId33" Type="http://schemas.openxmlformats.org/officeDocument/2006/relationships/hyperlink" Target="http://give2grow.razoo.com/story/Phelps-Memorial-Health-Center-1" TargetMode="External"/><Relationship Id="rId38" Type="http://schemas.openxmlformats.org/officeDocument/2006/relationships/hyperlink" Target="http://give2grow.razoo.com/story/Bertrand-Community-School" TargetMode="External"/><Relationship Id="rId2" Type="http://schemas.openxmlformats.org/officeDocument/2006/relationships/hyperlink" Target="http://give2grow.razoo.com/story/Hps-Foundation" TargetMode="External"/><Relationship Id="rId16" Type="http://schemas.openxmlformats.org/officeDocument/2006/relationships/hyperlink" Target="http://give2grow.razoo.com/story/Funk-School-Community" TargetMode="External"/><Relationship Id="rId20" Type="http://schemas.openxmlformats.org/officeDocument/2006/relationships/hyperlink" Target="http://give2grow.razoo.com/story/Holdrege-Optimist-Club" TargetMode="External"/><Relationship Id="rId29" Type="http://schemas.openxmlformats.org/officeDocument/2006/relationships/hyperlink" Target="http://give2grow.razoo.com/story/Bertrand-Area-Community-Foundation-Fund" TargetMode="External"/><Relationship Id="rId41" Type="http://schemas.openxmlformats.org/officeDocument/2006/relationships/hyperlink" Target="http://give2grow.razoo.com/story/Bertrand-Community-Building-Exterior-Renovations" TargetMode="External"/><Relationship Id="rId1" Type="http://schemas.openxmlformats.org/officeDocument/2006/relationships/hyperlink" Target="http://give2grow.razoo.com/story/Holdrege-Teammates" TargetMode="External"/><Relationship Id="rId6" Type="http://schemas.openxmlformats.org/officeDocument/2006/relationships/hyperlink" Target="http://give2grow.razoo.com/story/Ymca-Of-The-Prairie" TargetMode="External"/><Relationship Id="rId11" Type="http://schemas.openxmlformats.org/officeDocument/2006/relationships/hyperlink" Target="http://give2grow.razoo.com/story/Tassel-Performing-Arts-Center" TargetMode="External"/><Relationship Id="rId24" Type="http://schemas.openxmlformats.org/officeDocument/2006/relationships/hyperlink" Target="http://give2grow.razoo.com/story/Christian-Homes-Care-Community" TargetMode="External"/><Relationship Id="rId32" Type="http://schemas.openxmlformats.org/officeDocument/2006/relationships/hyperlink" Target="http://give2grow.razoo.com/story/Phelps-County-4-H-Foundation" TargetMode="External"/><Relationship Id="rId37" Type="http://schemas.openxmlformats.org/officeDocument/2006/relationships/hyperlink" Target="http://give2grow.razoo.com/story/Mosaic-Holdrege" TargetMode="External"/><Relationship Id="rId40" Type="http://schemas.openxmlformats.org/officeDocument/2006/relationships/hyperlink" Target="http://give2grow.razoo.com/story/Funk-Improvement-Council" TargetMode="External"/><Relationship Id="rId5" Type="http://schemas.openxmlformats.org/officeDocument/2006/relationships/hyperlink" Target="http://give2grow.razoo.com/story/Holdrege-Area-Public-Library" TargetMode="External"/><Relationship Id="rId15" Type="http://schemas.openxmlformats.org/officeDocument/2006/relationships/hyperlink" Target="http://give2grow.razoo.com/story/Phelps-Harlan-County-Casa" TargetMode="External"/><Relationship Id="rId23" Type="http://schemas.openxmlformats.org/officeDocument/2006/relationships/hyperlink" Target="http://give2grow.razoo.com/story/Holdrege-Area-Chamber-Of-Commerce" TargetMode="External"/><Relationship Id="rId28" Type="http://schemas.openxmlformats.org/officeDocument/2006/relationships/hyperlink" Target="http://give2grow.razoo.com/story/Village-Of-Loomis" TargetMode="External"/><Relationship Id="rId36" Type="http://schemas.openxmlformats.org/officeDocument/2006/relationships/hyperlink" Target="http://give2grow.razoo.com/story/Bertrand-Nursing-Home-And-Assisted-Living" TargetMode="External"/><Relationship Id="rId10" Type="http://schemas.openxmlformats.org/officeDocument/2006/relationships/hyperlink" Target="http://give2grow.razoo.com/story/Bertrand-Lions-Club-Foundation" TargetMode="External"/><Relationship Id="rId19" Type="http://schemas.openxmlformats.org/officeDocument/2006/relationships/hyperlink" Target="http://give2grow.razoo.com/story/Holdrege-Rotary-Club" TargetMode="External"/><Relationship Id="rId31" Type="http://schemas.openxmlformats.org/officeDocument/2006/relationships/hyperlink" Target="http://give2grow.razoo.com/story/Phelps-Memorial-Service-League" TargetMode="External"/><Relationship Id="rId4" Type="http://schemas.openxmlformats.org/officeDocument/2006/relationships/hyperlink" Target="http://give2grow.razoo.com/story/South-Platte-Youth-Athletic-Club-1" TargetMode="External"/><Relationship Id="rId9" Type="http://schemas.openxmlformats.org/officeDocument/2006/relationships/hyperlink" Target="http://give2grow.razoo.com/story/Future-Fund-1" TargetMode="External"/><Relationship Id="rId14" Type="http://schemas.openxmlformats.org/officeDocument/2006/relationships/hyperlink" Target="http://give2grow.razoo.com/story/Phelps-County-Historical-Society-3" TargetMode="External"/><Relationship Id="rId22" Type="http://schemas.openxmlformats.org/officeDocument/2006/relationships/hyperlink" Target="http://give2grow.razoo.com/story/Loomis-Public-School" TargetMode="External"/><Relationship Id="rId27" Type="http://schemas.openxmlformats.org/officeDocument/2006/relationships/hyperlink" Target="http://give2grow.razoo.com/story/Hhs-Class-Of-1966-Scholarship-Fund" TargetMode="External"/><Relationship Id="rId30" Type="http://schemas.openxmlformats.org/officeDocument/2006/relationships/hyperlink" Target="http://give2grow.razoo.com/story/Young-At-Heart-Senior-Center" TargetMode="External"/><Relationship Id="rId35" Type="http://schemas.openxmlformats.org/officeDocument/2006/relationships/hyperlink" Target="http://give2grow.razoo.com/story/Bertrand-School-Media-Center-Renov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topLeftCell="A19" workbookViewId="0">
      <selection activeCell="K24" sqref="K24"/>
    </sheetView>
  </sheetViews>
  <sheetFormatPr defaultRowHeight="14.4"/>
  <cols>
    <col min="11" max="11" width="11.77734375" bestFit="1" customWidth="1"/>
    <col min="12" max="12" width="14.77734375" customWidth="1"/>
    <col min="13" max="13" width="9" bestFit="1" customWidth="1"/>
    <col min="15" max="15" width="9" bestFit="1" customWidth="1"/>
  </cols>
  <sheetData>
    <row r="1" spans="1:14" ht="57.6">
      <c r="A1" s="6">
        <v>1</v>
      </c>
      <c r="B1" s="7" t="s">
        <v>14</v>
      </c>
      <c r="C1" s="8">
        <v>41</v>
      </c>
      <c r="D1" s="9">
        <v>5745</v>
      </c>
      <c r="F1" s="6">
        <v>21</v>
      </c>
      <c r="G1" s="7" t="s">
        <v>34</v>
      </c>
      <c r="H1" s="8">
        <v>11</v>
      </c>
      <c r="I1" s="9">
        <v>23242</v>
      </c>
      <c r="K1" s="6">
        <v>41</v>
      </c>
      <c r="L1" s="7" t="s">
        <v>32</v>
      </c>
      <c r="M1" s="8">
        <v>3</v>
      </c>
      <c r="N1" s="9">
        <v>485</v>
      </c>
    </row>
    <row r="2" spans="1:14" ht="72">
      <c r="A2" s="1">
        <v>2</v>
      </c>
      <c r="B2" s="2" t="s">
        <v>20</v>
      </c>
      <c r="C2" s="3">
        <v>32</v>
      </c>
      <c r="D2" s="5">
        <v>10470</v>
      </c>
      <c r="F2" s="1">
        <v>22</v>
      </c>
      <c r="G2" s="2" t="s">
        <v>26</v>
      </c>
      <c r="H2" s="3">
        <v>10</v>
      </c>
      <c r="I2" s="5">
        <v>1915</v>
      </c>
      <c r="N2" s="4">
        <f>SUM(N1)</f>
        <v>485</v>
      </c>
    </row>
    <row r="3" spans="1:14" ht="158.4">
      <c r="A3" s="6">
        <v>3</v>
      </c>
      <c r="B3" s="7" t="s">
        <v>12</v>
      </c>
      <c r="C3" s="8">
        <v>31</v>
      </c>
      <c r="D3" s="9">
        <v>18810</v>
      </c>
      <c r="F3" s="6">
        <v>23</v>
      </c>
      <c r="G3" s="7" t="s">
        <v>30</v>
      </c>
      <c r="H3" s="8">
        <v>10</v>
      </c>
      <c r="I3" s="9">
        <v>1200</v>
      </c>
    </row>
    <row r="4" spans="1:14" ht="158.4">
      <c r="A4" s="1">
        <v>4</v>
      </c>
      <c r="B4" s="2" t="s">
        <v>27</v>
      </c>
      <c r="C4" s="3">
        <v>31</v>
      </c>
      <c r="D4" s="5">
        <v>12930</v>
      </c>
      <c r="F4" s="1">
        <v>24</v>
      </c>
      <c r="G4" s="2" t="s">
        <v>8</v>
      </c>
      <c r="H4" s="3">
        <v>9</v>
      </c>
      <c r="I4" s="5">
        <v>10850</v>
      </c>
    </row>
    <row r="5" spans="1:14" ht="57.6">
      <c r="A5" s="6">
        <v>5</v>
      </c>
      <c r="B5" s="7" t="s">
        <v>11</v>
      </c>
      <c r="C5" s="8">
        <v>31</v>
      </c>
      <c r="D5" s="9">
        <v>12528</v>
      </c>
      <c r="F5" s="6">
        <v>25</v>
      </c>
      <c r="G5" s="7" t="s">
        <v>17</v>
      </c>
      <c r="H5" s="8">
        <v>9</v>
      </c>
      <c r="I5" s="9">
        <v>2055</v>
      </c>
    </row>
    <row r="6" spans="1:14" ht="57.6">
      <c r="A6" s="1">
        <v>6</v>
      </c>
      <c r="B6" s="2" t="s">
        <v>2</v>
      </c>
      <c r="C6" s="3">
        <v>30</v>
      </c>
      <c r="D6" s="5">
        <v>52810</v>
      </c>
      <c r="F6" s="1">
        <v>26</v>
      </c>
      <c r="G6" s="2" t="s">
        <v>31</v>
      </c>
      <c r="H6" s="3">
        <v>9</v>
      </c>
      <c r="I6" s="5">
        <v>1575</v>
      </c>
    </row>
    <row r="7" spans="1:14" ht="57.6">
      <c r="A7" s="6">
        <v>7</v>
      </c>
      <c r="B7" s="7" t="s">
        <v>0</v>
      </c>
      <c r="C7" s="8">
        <v>26</v>
      </c>
      <c r="D7" s="9">
        <v>21882</v>
      </c>
      <c r="F7" s="6">
        <v>27</v>
      </c>
      <c r="G7" s="7" t="s">
        <v>37</v>
      </c>
      <c r="H7" s="8">
        <v>8</v>
      </c>
      <c r="I7" s="9">
        <v>3755</v>
      </c>
    </row>
    <row r="8" spans="1:14" ht="43.2">
      <c r="A8" s="1">
        <v>8</v>
      </c>
      <c r="B8" s="2" t="s">
        <v>13</v>
      </c>
      <c r="C8" s="3">
        <v>24</v>
      </c>
      <c r="D8" s="5">
        <v>10880</v>
      </c>
      <c r="F8" s="1">
        <v>28</v>
      </c>
      <c r="G8" s="2" t="s">
        <v>39</v>
      </c>
      <c r="H8" s="3">
        <v>7</v>
      </c>
      <c r="I8" s="5">
        <v>3450</v>
      </c>
    </row>
    <row r="9" spans="1:14" ht="86.4">
      <c r="A9" s="6">
        <v>9</v>
      </c>
      <c r="B9" s="7" t="s">
        <v>16</v>
      </c>
      <c r="C9" s="8">
        <v>19</v>
      </c>
      <c r="D9" s="9">
        <v>8800</v>
      </c>
      <c r="F9" s="6">
        <v>29</v>
      </c>
      <c r="G9" s="7" t="s">
        <v>4</v>
      </c>
      <c r="H9" s="8">
        <v>6</v>
      </c>
      <c r="I9" s="9">
        <v>21000</v>
      </c>
    </row>
    <row r="10" spans="1:14" ht="86.4">
      <c r="A10" s="1">
        <v>10</v>
      </c>
      <c r="B10" s="2" t="s">
        <v>28</v>
      </c>
      <c r="C10" s="3">
        <v>19</v>
      </c>
      <c r="D10" s="5">
        <v>1498</v>
      </c>
      <c r="F10" s="1">
        <v>30</v>
      </c>
      <c r="G10" s="2" t="s">
        <v>6</v>
      </c>
      <c r="H10" s="3">
        <v>6</v>
      </c>
      <c r="I10" s="5">
        <v>10425</v>
      </c>
    </row>
    <row r="11" spans="1:14" ht="57.6">
      <c r="A11" s="6">
        <v>11</v>
      </c>
      <c r="B11" s="7" t="s">
        <v>15</v>
      </c>
      <c r="C11" s="8">
        <v>18</v>
      </c>
      <c r="D11" s="9">
        <v>14868</v>
      </c>
      <c r="F11" s="6">
        <v>31</v>
      </c>
      <c r="G11" s="7" t="s">
        <v>22</v>
      </c>
      <c r="H11" s="8">
        <v>6</v>
      </c>
      <c r="I11" s="9">
        <v>7045</v>
      </c>
    </row>
    <row r="12" spans="1:14" ht="72">
      <c r="A12" s="1">
        <v>12</v>
      </c>
      <c r="B12" s="2" t="s">
        <v>3</v>
      </c>
      <c r="C12" s="3">
        <v>17</v>
      </c>
      <c r="D12" s="5">
        <v>15095</v>
      </c>
      <c r="F12" s="1">
        <v>32</v>
      </c>
      <c r="G12" s="2" t="s">
        <v>23</v>
      </c>
      <c r="H12" s="3">
        <v>6</v>
      </c>
      <c r="I12" s="5">
        <v>1100</v>
      </c>
    </row>
    <row r="13" spans="1:14" ht="57.6">
      <c r="A13" s="6">
        <v>13</v>
      </c>
      <c r="B13" s="7" t="s">
        <v>25</v>
      </c>
      <c r="C13" s="8">
        <v>17</v>
      </c>
      <c r="D13" s="9">
        <v>12025</v>
      </c>
      <c r="F13" s="6">
        <v>33</v>
      </c>
      <c r="G13" s="7" t="s">
        <v>33</v>
      </c>
      <c r="H13" s="8">
        <v>6</v>
      </c>
      <c r="I13" s="9">
        <v>1003</v>
      </c>
    </row>
    <row r="14" spans="1:14" ht="57.6">
      <c r="A14" s="1">
        <v>14</v>
      </c>
      <c r="B14" s="2" t="s">
        <v>7</v>
      </c>
      <c r="C14" s="3">
        <v>17</v>
      </c>
      <c r="D14" s="5">
        <v>11835</v>
      </c>
      <c r="F14" s="1">
        <v>34</v>
      </c>
      <c r="G14" s="2" t="s">
        <v>24</v>
      </c>
      <c r="H14" s="3">
        <v>5</v>
      </c>
      <c r="I14" s="5">
        <v>1225</v>
      </c>
    </row>
    <row r="15" spans="1:14" ht="86.4">
      <c r="A15" s="6">
        <v>15</v>
      </c>
      <c r="B15" s="7" t="s">
        <v>18</v>
      </c>
      <c r="C15" s="8">
        <v>15</v>
      </c>
      <c r="D15" s="9">
        <v>7060</v>
      </c>
      <c r="F15" s="6">
        <v>35</v>
      </c>
      <c r="G15" s="7" t="s">
        <v>29</v>
      </c>
      <c r="H15" s="8">
        <v>5</v>
      </c>
      <c r="I15" s="9">
        <v>925</v>
      </c>
    </row>
    <row r="16" spans="1:14" ht="86.4">
      <c r="A16" s="1">
        <v>16</v>
      </c>
      <c r="B16" s="2" t="s">
        <v>5</v>
      </c>
      <c r="C16" s="3">
        <v>14</v>
      </c>
      <c r="D16" s="5">
        <v>23350</v>
      </c>
      <c r="F16" s="1">
        <v>36</v>
      </c>
      <c r="G16" s="2" t="s">
        <v>36</v>
      </c>
      <c r="H16" s="3">
        <v>5</v>
      </c>
      <c r="I16" s="5">
        <v>245</v>
      </c>
    </row>
    <row r="17" spans="1:13" ht="43.2">
      <c r="A17" s="6">
        <v>17</v>
      </c>
      <c r="B17" s="7" t="s">
        <v>1</v>
      </c>
      <c r="C17" s="8">
        <v>14</v>
      </c>
      <c r="D17" s="9">
        <v>17235</v>
      </c>
      <c r="F17" s="6">
        <v>37</v>
      </c>
      <c r="G17" s="7" t="s">
        <v>9</v>
      </c>
      <c r="H17" s="8">
        <v>4</v>
      </c>
      <c r="I17" s="9">
        <v>6925</v>
      </c>
    </row>
    <row r="18" spans="1:13" ht="72">
      <c r="A18" s="1">
        <v>18</v>
      </c>
      <c r="B18" s="2" t="s">
        <v>10</v>
      </c>
      <c r="C18" s="3">
        <v>14</v>
      </c>
      <c r="D18" s="5">
        <v>6405</v>
      </c>
      <c r="F18" s="1">
        <v>38</v>
      </c>
      <c r="G18" s="2" t="s">
        <v>38</v>
      </c>
      <c r="H18" s="3">
        <v>4</v>
      </c>
      <c r="I18" s="5">
        <v>2675</v>
      </c>
    </row>
    <row r="19" spans="1:13" ht="86.4">
      <c r="A19" s="6">
        <v>19</v>
      </c>
      <c r="B19" s="7" t="s">
        <v>19</v>
      </c>
      <c r="C19" s="8">
        <v>14</v>
      </c>
      <c r="D19" s="9">
        <v>1825</v>
      </c>
      <c r="F19" s="6">
        <v>39</v>
      </c>
      <c r="G19" s="7" t="s">
        <v>35</v>
      </c>
      <c r="H19" s="8">
        <v>4</v>
      </c>
      <c r="I19" s="9">
        <v>750</v>
      </c>
    </row>
    <row r="20" spans="1:13" ht="57.6">
      <c r="A20" s="1">
        <v>20</v>
      </c>
      <c r="B20" s="2" t="s">
        <v>40</v>
      </c>
      <c r="C20" s="3">
        <v>13</v>
      </c>
      <c r="D20" s="5">
        <v>2801</v>
      </c>
      <c r="F20" s="1">
        <v>40</v>
      </c>
      <c r="G20" s="2" t="s">
        <v>21</v>
      </c>
      <c r="H20" s="3">
        <v>3</v>
      </c>
      <c r="I20" s="5">
        <v>1720</v>
      </c>
    </row>
    <row r="21" spans="1:13">
      <c r="D21" s="4">
        <f>SUM(D1:D20)</f>
        <v>268852</v>
      </c>
      <c r="I21" s="4">
        <f>SUM(I1:I20)</f>
        <v>103080</v>
      </c>
    </row>
    <row r="25" spans="1:13">
      <c r="K25" s="10" t="s">
        <v>41</v>
      </c>
      <c r="L25" s="10"/>
      <c r="M25" s="11">
        <f>D21+I21+N2</f>
        <v>372417</v>
      </c>
    </row>
    <row r="26" spans="1:13">
      <c r="K26" s="10" t="s">
        <v>44</v>
      </c>
      <c r="L26" s="10"/>
      <c r="M26" s="11">
        <f>150+1520+25</f>
        <v>1695</v>
      </c>
    </row>
    <row r="27" spans="1:13">
      <c r="K27" s="10" t="s">
        <v>42</v>
      </c>
      <c r="L27" s="10"/>
      <c r="M27" s="10"/>
    </row>
    <row r="28" spans="1:13">
      <c r="K28" s="10"/>
      <c r="L28" s="10"/>
      <c r="M28" s="10"/>
    </row>
    <row r="29" spans="1:13">
      <c r="K29" s="12" t="s">
        <v>43</v>
      </c>
      <c r="L29" s="10"/>
      <c r="M29" s="11">
        <f>M25+M26</f>
        <v>374112</v>
      </c>
    </row>
    <row r="35" spans="13:15">
      <c r="O35" s="4"/>
    </row>
    <row r="41" spans="13:15">
      <c r="M41" s="4"/>
    </row>
  </sheetData>
  <hyperlinks>
    <hyperlink ref="B1" r:id="rId1" display="http://give2grow.razoo.com/story/Holdrege-Teammates"/>
    <hyperlink ref="B2" r:id="rId2" display="http://give2grow.razoo.com/story/Hps-Foundation"/>
    <hyperlink ref="B3" r:id="rId3" display="http://give2grow.razoo.com/story/Citizens-For-Bronze-Art"/>
    <hyperlink ref="B4" r:id="rId4" display="http://give2grow.razoo.com/story/South-Platte-Youth-Athletic-Club-1"/>
    <hyperlink ref="B5" r:id="rId5" display="http://give2grow.razoo.com/story/Holdrege-Area-Public-Library"/>
    <hyperlink ref="B6" r:id="rId6" display="http://give2grow.razoo.com/story/Ymca-Of-The-Prairie"/>
    <hyperlink ref="B7" r:id="rId7" display="http://give2grow.razoo.com/story/Christian-Charity-Fund"/>
    <hyperlink ref="B8" r:id="rId8" display="http://give2grow.razoo.com/story/Phelps-Community-Pantry-1"/>
    <hyperlink ref="B9" r:id="rId9" display="http://give2grow.razoo.com/story/Future-Fund-1"/>
    <hyperlink ref="B10" r:id="rId10" display="http://give2grow.razoo.com/story/Bertrand-Lions-Club-Foundation"/>
    <hyperlink ref="B11" r:id="rId11" display="http://give2grow.razoo.com/story/Tassel-Performing-Arts-Center"/>
    <hyperlink ref="B12" r:id="rId12" display="http://give2grow.razoo.com/story/Holdrege-Animal-Shelter-2"/>
    <hyperlink ref="B13" r:id="rId13" display="http://give2grow.razoo.com/story/Holdrege-Legion-Baseball"/>
    <hyperlink ref="B14" r:id="rId14" display="http://give2grow.razoo.com/story/Phelps-County-Historical-Society-3"/>
    <hyperlink ref="B15" r:id="rId15" display="http://give2grow.razoo.com/story/Phelps-Harlan-County-Casa"/>
    <hyperlink ref="B16" r:id="rId16" display="http://give2grow.razoo.com/story/Funk-School-Community"/>
    <hyperlink ref="B17" r:id="rId17" display="http://give2grow.razoo.com/story/Holdrege-Memorial-Homes-1"/>
    <hyperlink ref="B18" r:id="rId18" display="http://give2grow.razoo.com/story/Bertrand-Fire-Rescue"/>
    <hyperlink ref="B19" r:id="rId19" display="http://give2grow.razoo.com/story/Holdrege-Rotary-Club"/>
    <hyperlink ref="B20" r:id="rId20" display="http://give2grow.razoo.com/story/Holdrege-Optimist-Club"/>
    <hyperlink ref="G1" r:id="rId21" display="http://give2grow.razoo.com/story/Phelps-County-Senior-Center"/>
    <hyperlink ref="G2" r:id="rId22" display="http://give2grow.razoo.com/story/Loomis-Public-School"/>
    <hyperlink ref="G3" r:id="rId23" display="http://give2grow.razoo.com/story/Holdrege-Area-Chamber-Of-Commerce"/>
    <hyperlink ref="G4" r:id="rId24" display="http://give2grow.razoo.com/story/Christian-Homes-Care-Community"/>
    <hyperlink ref="G5" r:id="rId25" display="http://give2grow.razoo.com/story/Loomis-In-Zone-Youth-Center"/>
    <hyperlink ref="G6" r:id="rId26" display="http://give2grow.razoo.com/story/Class-Of-1965-Scholarship"/>
    <hyperlink ref="G7" r:id="rId27" display="http://give2grow.razoo.com/story/Hhs-Class-Of-1966-Scholarship-Fund"/>
    <hyperlink ref="G8" r:id="rId28" display="http://give2grow.razoo.com/story/Village-Of-Loomis"/>
    <hyperlink ref="G9" r:id="rId29" display="http://give2grow.razoo.com/story/Bertrand-Area-Community-Foundation-Fund"/>
    <hyperlink ref="G10" r:id="rId30" display="http://give2grow.razoo.com/story/Young-At-Heart-Senior-Center"/>
    <hyperlink ref="G11" r:id="rId31" display="http://give2grow.razoo.com/story/Phelps-Memorial-Service-League"/>
    <hyperlink ref="G12" r:id="rId32" display="http://give2grow.razoo.com/story/Phelps-County-4-H-Foundation"/>
    <hyperlink ref="G13" r:id="rId33" display="http://give2grow.razoo.com/story/Phelps-Memorial-Health-Center-1"/>
    <hyperlink ref="G14" r:id="rId34" display="http://give2grow.razoo.com/story/Kiwanis-Club-Of-Holdrege"/>
    <hyperlink ref="G15" r:id="rId35" display="http://give2grow.razoo.com/story/Bertrand-School-Media-Center-Renovation"/>
    <hyperlink ref="G16" r:id="rId36" display="http://give2grow.razoo.com/story/Bertrand-Nursing-Home-And-Assisted-Living"/>
    <hyperlink ref="G17" r:id="rId37" display="http://give2grow.razoo.com/story/Mosaic-Holdrege"/>
    <hyperlink ref="G18" r:id="rId38" display="http://give2grow.razoo.com/story/Bertrand-Community-School"/>
    <hyperlink ref="G19" r:id="rId39" display="http://give2grow.razoo.com/story/Central-Comunity-College-Holdrege"/>
    <hyperlink ref="G20" r:id="rId40" display="http://give2grow.razoo.com/story/Funk-Improvement-Council"/>
    <hyperlink ref="L1" r:id="rId41" display="http://give2grow.razoo.com/story/Bertrand-Community-Building-Exterior-Renovations"/>
  </hyperlinks>
  <pageMargins left="0.7" right="0.7" top="0.75" bottom="0.75" header="0.3" footer="0.3"/>
  <pageSetup orientation="portrait" horizontalDpi="0" verticalDpi="0" r:id="rId4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2012-11-30T06:10:29Z</dcterms:modified>
</cp:coreProperties>
</file>